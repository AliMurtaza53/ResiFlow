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othaw\Desktop\ResiFlow\parameters\tables\"/>
    </mc:Choice>
  </mc:AlternateContent>
  <xr:revisionPtr revIDLastSave="0" documentId="13_ncr:1_{793750EA-2D7B-4E13-9D9E-DF1501526929}" xr6:coauthVersionLast="47" xr6:coauthVersionMax="47" xr10:uidLastSave="{00000000-0000-0000-0000-000000000000}"/>
  <bookViews>
    <workbookView xWindow="-24154" yWindow="2867" windowWidth="24267" windowHeight="14526" xr2:uid="{B694C255-2947-4845-8CCC-D5EDD692FE9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" l="1"/>
  <c r="B5" i="1"/>
  <c r="B16" i="1" s="1"/>
  <c r="B12" i="1"/>
  <c r="B13" i="1"/>
</calcChain>
</file>

<file path=xl/sharedStrings.xml><?xml version="1.0" encoding="utf-8"?>
<sst xmlns="http://schemas.openxmlformats.org/spreadsheetml/2006/main" count="53" uniqueCount="38">
  <si>
    <t>parameter</t>
  </si>
  <si>
    <t>value</t>
  </si>
  <si>
    <t>units</t>
  </si>
  <si>
    <t>source</t>
  </si>
  <si>
    <t>link</t>
  </si>
  <si>
    <t>comment</t>
  </si>
  <si>
    <t>vot_business_passenger</t>
  </si>
  <si>
    <t>vot_HT</t>
  </si>
  <si>
    <t>vot_MT</t>
  </si>
  <si>
    <t>vot_ST</t>
  </si>
  <si>
    <t>#vot = Value of Time varies by passenger type/purpose - commuter, business</t>
  </si>
  <si>
    <t>#Truck-type = HT: Heavy Truc 5+ Axlesk, MT = Medium 4-Axle Combination, ST = Single-Unit 6-Tire</t>
  </si>
  <si>
    <t>fuel_price_gasoline</t>
  </si>
  <si>
    <t>fuel_price_diesel</t>
  </si>
  <si>
    <t>closure_depth_car</t>
  </si>
  <si>
    <t>closure_depth_truck</t>
  </si>
  <si>
    <t>isolation_loss_passenger</t>
  </si>
  <si>
    <t>isolation_loss_freight</t>
  </si>
  <si>
    <t>AVG_CAR_OCCUPANCY</t>
  </si>
  <si>
    <t>nhts 2022 - ACROSS ALL purposes</t>
  </si>
  <si>
    <t>EIA 2024</t>
  </si>
  <si>
    <t>Pregnolato et al. 2017; NWS 12-in guidance</t>
  </si>
  <si>
    <t>Kramer et al. 2016 (~50-60 cm truck fording)</t>
  </si>
  <si>
    <t>cm</t>
  </si>
  <si>
    <t>USD/worker-day</t>
  </si>
  <si>
    <t>BLS CES mean hourly earnings ~USD35 (2024) and average weekly hours ~35 so 7 hr/day</t>
  </si>
  <si>
    <t xml:space="preserve"> https://www.bls.gov/ces/data/employment-and-earnings/2024/summarytable_202401.htm</t>
  </si>
  <si>
    <t>Isolation Loss  = Tonnage (from FAF5) x Value per Ton (FAF5) x Disruption Duration (Days) x Daily Holding/Loss Rate</t>
  </si>
  <si>
    <t>vehicle-hr</t>
  </si>
  <si>
    <t>vot_personal</t>
  </si>
  <si>
    <t>average small/med auto</t>
  </si>
  <si>
    <t>Exhibit A3 CP25ed 2023</t>
  </si>
  <si>
    <t>Exhibit A3 CP25ed 2024</t>
  </si>
  <si>
    <t>Exhibit A3 CP25ed 2025</t>
  </si>
  <si>
    <t>Exhibit A3 CP25ed 2026</t>
  </si>
  <si>
    <t>vot_&lt;biz/pers&gt; *share_&lt;biz/pers&gt; * avg_hrs_perday</t>
  </si>
  <si>
    <t>share_biztravel_personalcar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</si>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</sst>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kothaw\Desktop\ResiFlow\parameters\tables\T04_avg_fuel_VOC.csv" TargetMode="External"/><Relationship Id="rId1" Type="http://schemas.openxmlformats.org/officeDocument/2006/relationships/externalLinkPath" Target="T04_avg_fuel_VOC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04_avg_fuel_VOC"/>
    </sheetNames>
    <sheetDataSet>
      <sheetData sheetId="0" refreshError="1">
        <row r="16">
          <cell r="C16">
            <v>3.15</v>
          </cell>
        </row>
        <row r="17">
          <cell r="C17">
            <v>3.65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578D-1394-4329-A67A-ED79C88D0A76}">
  <dimension ref="A1:V17"/>
  <sheetViews>
    <sheetView tabSelected="1" topLeftCell="D1" zoomScale="85" zoomScaleNormal="85" workbookViewId="0">
      <selection activeCell="E8" sqref="E8"/>
    </sheetView>
  </sheetViews>
  <sheetFormatPr defaultRowHeight="15.05" x14ac:dyDescent="0.3"/>
  <cols>
    <col min="1" max="1" width="24.77734375" customWidth="1"/>
    <col min="2" max="2" width="7" bestFit="1" customWidth="1"/>
    <col min="3" max="3" width="14.21875" bestFit="1" customWidth="1"/>
    <col min="4" max="4" width="72.109375" bestFit="1" customWidth="1"/>
    <col min="5" max="5" width="75.88671875" bestFit="1" customWidth="1"/>
    <col min="6" max="6" width="95.5546875" bestFit="1" customWidth="1"/>
    <col min="17" max="17" width="23.77734375" bestFit="1" customWidth="1"/>
    <col min="18" max="18" width="6.5546875" bestFit="1" customWidth="1"/>
    <col min="19" max="19" width="14.21875" bestFit="1" customWidth="1"/>
    <col min="20" max="20" width="71.77734375" bestFit="1" customWidth="1"/>
    <col min="21" max="21" width="75.88671875" bestFit="1" customWidth="1"/>
    <col min="22" max="22" width="42.44140625" bestFit="1" customWidth="1"/>
    <col min="23" max="23" width="7.21875" customWidth="1"/>
  </cols>
  <sheetData>
    <row r="1" spans="1:22" x14ac:dyDescent="0.3">
      <c r="A1" t="s">
        <v>10</v>
      </c>
    </row>
    <row r="2" spans="1:22" x14ac:dyDescent="0.3">
      <c r="A2" t="s">
        <v>11</v>
      </c>
    </row>
    <row r="4" spans="1:22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1:22" x14ac:dyDescent="0.3">
      <c r="A5" t="s">
        <v>6</v>
      </c>
      <c r="B5">
        <f>(38.08+37.32)/2</f>
        <v>37.700000000000003</v>
      </c>
      <c r="C5" t="s">
        <v>28</v>
      </c>
      <c r="D5" t="s">
        <v>31</v>
      </c>
    </row>
    <row r="6" spans="1:22" x14ac:dyDescent="0.3">
      <c r="A6" t="s">
        <v>29</v>
      </c>
      <c r="B6">
        <v>15.2</v>
      </c>
      <c r="C6" t="s">
        <v>28</v>
      </c>
      <c r="D6" t="s">
        <v>31</v>
      </c>
      <c r="F6" t="s">
        <v>30</v>
      </c>
    </row>
    <row r="7" spans="1:22" x14ac:dyDescent="0.3">
      <c r="A7" t="s">
        <v>36</v>
      </c>
      <c r="B7" s="1">
        <f>(10.2/2+8.6/2)/100</f>
        <v>9.3999999999999986E-2</v>
      </c>
      <c r="C7" t="s">
        <v>37</v>
      </c>
      <c r="D7" t="s">
        <v>31</v>
      </c>
      <c r="F7" t="s">
        <v>30</v>
      </c>
    </row>
    <row r="8" spans="1:22" x14ac:dyDescent="0.3">
      <c r="A8" t="s">
        <v>7</v>
      </c>
      <c r="B8">
        <v>82.43</v>
      </c>
      <c r="C8" t="s">
        <v>28</v>
      </c>
      <c r="D8" t="s">
        <v>32</v>
      </c>
    </row>
    <row r="9" spans="1:22" x14ac:dyDescent="0.3">
      <c r="A9" t="s">
        <v>8</v>
      </c>
      <c r="B9">
        <v>139.15</v>
      </c>
      <c r="C9" t="s">
        <v>28</v>
      </c>
      <c r="D9" t="s">
        <v>33</v>
      </c>
    </row>
    <row r="10" spans="1:22" x14ac:dyDescent="0.3">
      <c r="A10" t="s">
        <v>9</v>
      </c>
      <c r="B10">
        <v>67.739999999999995</v>
      </c>
      <c r="C10" t="s">
        <v>28</v>
      </c>
      <c r="D10" t="s">
        <v>34</v>
      </c>
      <c r="U10" t="s">
        <v>4</v>
      </c>
      <c r="V10" t="s">
        <v>5</v>
      </c>
    </row>
    <row r="11" spans="1:22" x14ac:dyDescent="0.3">
      <c r="A11" t="s">
        <v>18</v>
      </c>
      <c r="B11">
        <v>1.57</v>
      </c>
      <c r="D11" t="s">
        <v>19</v>
      </c>
    </row>
    <row r="12" spans="1:22" x14ac:dyDescent="0.3">
      <c r="A12" t="s">
        <v>12</v>
      </c>
      <c r="B12">
        <f>[1]T04_avg_fuel_VOC!C16</f>
        <v>3.15</v>
      </c>
      <c r="D12" t="s">
        <v>20</v>
      </c>
      <c r="V12" t="s">
        <v>30</v>
      </c>
    </row>
    <row r="13" spans="1:22" x14ac:dyDescent="0.3">
      <c r="A13" t="s">
        <v>13</v>
      </c>
      <c r="B13">
        <f>[1]T04_avg_fuel_VOC!C17</f>
        <v>3.65</v>
      </c>
      <c r="D13" t="s">
        <v>20</v>
      </c>
      <c r="R13" s="1"/>
      <c r="V13" t="s">
        <v>30</v>
      </c>
    </row>
    <row r="14" spans="1:22" x14ac:dyDescent="0.3">
      <c r="A14" t="s">
        <v>14</v>
      </c>
      <c r="B14">
        <v>30</v>
      </c>
      <c r="C14" t="s">
        <v>23</v>
      </c>
      <c r="D14" t="s">
        <v>21</v>
      </c>
      <c r="R14" s="2"/>
      <c r="U14" t="s">
        <v>26</v>
      </c>
      <c r="V14" t="s">
        <v>35</v>
      </c>
    </row>
    <row r="15" spans="1:22" x14ac:dyDescent="0.3">
      <c r="A15" t="s">
        <v>15</v>
      </c>
      <c r="B15">
        <v>60</v>
      </c>
      <c r="C15" t="s">
        <v>23</v>
      </c>
      <c r="D15" t="s">
        <v>22</v>
      </c>
    </row>
    <row r="16" spans="1:22" x14ac:dyDescent="0.3">
      <c r="A16" t="s">
        <v>16</v>
      </c>
      <c r="B16" s="2">
        <f>(B5*B7+B6*(1-B7))*7</f>
        <v>121.20500000000001</v>
      </c>
      <c r="C16" t="s">
        <v>24</v>
      </c>
      <c r="D16" t="s">
        <v>25</v>
      </c>
      <c r="E16" t="s">
        <v>26</v>
      </c>
      <c r="F16" t="s">
        <v>35</v>
      </c>
    </row>
    <row r="17" spans="1:6" x14ac:dyDescent="0.3">
      <c r="A17" t="s">
        <v>17</v>
      </c>
      <c r="F17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Alimurtaza Husain Kothawala</dc:creator>
  <cp:lastModifiedBy>Alimurtaza Husain Kothawala</cp:lastModifiedBy>
  <dcterms:created xsi:type="dcterms:W3CDTF">2026-09-23T18:13:43Z</dcterms:created>
  <dcterms:modified xsi:type="dcterms:W3CDTF">2026-09-24T18:15:30Z</dcterms:modified>
</cp:coreProperties>
</file>