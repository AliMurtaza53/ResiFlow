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54" yWindow="2867" windowWidth="24267" windowHeight="14526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3">
    <xf numFmtId="0" fontId="0" fillId="0" borderId="0" pivotButton="0" quotePrefix="0" xfId="0"/>
    <xf numFmtId="164" fontId="0" fillId="0" borderId="0" pivotButton="0" quotePrefix="0" xfId="1"/>
    <xf numFmtId="2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kothaw\Desktop\ResiFlow\parameters\tables\T04_avg_fuel_VOC.csv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04_avg_fuel_VOC"/>
    </sheetNames>
    <sheetDataSet>
      <sheetData sheetId="0" refreshError="1">
        <row r="16">
          <cell r="C16">
            <v>3.15</v>
          </cell>
        </row>
        <row r="17">
          <cell r="C17">
            <v>3.65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tabSelected="1" topLeftCell="D1" zoomScale="85" zoomScaleNormal="85" workbookViewId="0">
      <selection activeCell="E8" sqref="E8"/>
    </sheetView>
  </sheetViews>
  <sheetFormatPr baseColWidth="8" defaultRowHeight="15.05"/>
  <cols>
    <col width="24.77734375" customWidth="1" min="1" max="1"/>
    <col width="7" bestFit="1" customWidth="1" min="2" max="2"/>
    <col width="14.21875" bestFit="1" customWidth="1" min="3" max="3"/>
    <col width="72.109375" bestFit="1" customWidth="1" min="4" max="4"/>
    <col width="75.88671875" bestFit="1" customWidth="1" min="5" max="5"/>
    <col width="95.5546875" bestFit="1" customWidth="1" min="6" max="6"/>
    <col width="23.77734375" bestFit="1" customWidth="1" min="17" max="17"/>
    <col width="6.5546875" bestFit="1" customWidth="1" min="18" max="18"/>
    <col width="14.21875" bestFit="1" customWidth="1" min="19" max="19"/>
    <col width="71.77734375" bestFit="1" customWidth="1" min="20" max="20"/>
    <col width="75.88671875" bestFit="1" customWidth="1" min="21" max="21"/>
    <col width="42.44140625" bestFit="1" customWidth="1" min="22" max="22"/>
    <col width="7.21875" customWidth="1" min="23" max="23"/>
  </cols>
  <sheetData>
    <row r="1">
      <c r="A1" t="inlineStr">
        <is>
          <t>#vot = Value of Time varies by passenger type/purpose - commuter, business</t>
        </is>
      </c>
    </row>
    <row r="2">
      <c r="A2" t="inlineStr">
        <is>
          <t>#Truck-type VOTs: HT = Heavy Truck 5+ Axle Combination; MT = Medium 4-Axle Combination; ST = Single-Unit 6-Tire. Isolation uses productive haul hours (not assignment effective_hours=24).</t>
        </is>
      </c>
    </row>
    <row r="4">
      <c r="A4" t="inlineStr">
        <is>
          <t>parameter</t>
        </is>
      </c>
      <c r="B4" t="inlineStr">
        <is>
          <t>value</t>
        </is>
      </c>
      <c r="C4" t="inlineStr">
        <is>
          <t>units</t>
        </is>
      </c>
      <c r="D4" t="inlineStr">
        <is>
          <t>source</t>
        </is>
      </c>
      <c r="E4" t="inlineStr">
        <is>
          <t>link</t>
        </is>
      </c>
      <c r="F4" t="inlineStr">
        <is>
          <t>comment</t>
        </is>
      </c>
    </row>
    <row r="5">
      <c r="A5" t="inlineStr">
        <is>
          <t>vot_business_passenger</t>
        </is>
      </c>
      <c r="B5">
        <f>(38.08+37.32)/2</f>
        <v/>
      </c>
      <c r="C5" t="inlineStr">
        <is>
          <t>vehicle-hr</t>
        </is>
      </c>
      <c r="D5" t="inlineStr">
        <is>
          <t>Exhibit A3 CP25ed 2023</t>
        </is>
      </c>
    </row>
    <row r="6">
      <c r="A6" t="inlineStr">
        <is>
          <t>vot_personal</t>
        </is>
      </c>
      <c r="B6" t="n">
        <v>15.2</v>
      </c>
      <c r="C6" t="inlineStr">
        <is>
          <t>vehicle-hr</t>
        </is>
      </c>
      <c r="D6" t="inlineStr">
        <is>
          <t>Exhibit A3 CP25ed 2023</t>
        </is>
      </c>
      <c r="F6" t="inlineStr">
        <is>
          <t>average small/med auto</t>
        </is>
      </c>
    </row>
    <row r="7">
      <c r="A7" t="inlineStr">
        <is>
          <t>share_biztravel_personalcar</t>
        </is>
      </c>
      <c r="B7" s="1">
        <f>(10.2/2+8.6/2)/100</f>
        <v/>
      </c>
      <c r="C7" t="inlineStr">
        <is>
          <t>%</t>
        </is>
      </c>
      <c r="D7" t="inlineStr">
        <is>
          <t>Exhibit A3 CP25ed 2023</t>
        </is>
      </c>
      <c r="F7" t="inlineStr">
        <is>
          <t>average small/med auto</t>
        </is>
      </c>
    </row>
    <row r="8">
      <c r="A8" t="inlineStr">
        <is>
          <t>vot_HT</t>
        </is>
      </c>
      <c r="B8" t="n">
        <v>82.43000000000001</v>
      </c>
      <c r="C8" t="inlineStr">
        <is>
          <t>vehicle-hr</t>
        </is>
      </c>
      <c r="D8" t="inlineStr">
        <is>
          <t>Exhibit A3 CP25 (2018 USD vehicle-hr)</t>
        </is>
      </c>
      <c r="F8" t="inlineStr">
        <is>
          <t>5+-axle combination total VOT/veh-hr (occupants+capital+inventory cargo)</t>
        </is>
      </c>
    </row>
    <row r="9">
      <c r="A9" t="inlineStr">
        <is>
          <t>vot_MT</t>
        </is>
      </c>
      <c r="B9" t="n">
        <v>139.15</v>
      </c>
      <c r="C9" t="inlineStr">
        <is>
          <t>vehicle-hr</t>
        </is>
      </c>
      <c r="D9" t="inlineStr">
        <is>
          <t>Exhibit A3 CP25 (2018 USD vehicle-hr)</t>
        </is>
      </c>
      <c r="F9" t="inlineStr">
        <is>
          <t>4-axle combination total VOT/veh-hr</t>
        </is>
      </c>
    </row>
    <row r="10">
      <c r="A10" t="inlineStr">
        <is>
          <t>vot_ST</t>
        </is>
      </c>
      <c r="B10" t="n">
        <v>67.73999999999999</v>
      </c>
      <c r="C10" t="inlineStr">
        <is>
          <t>vehicle-hr</t>
        </is>
      </c>
      <c r="D10" t="inlineStr">
        <is>
          <t>Exhibit A3 CP25 (2018 USD vehicle-hr)</t>
        </is>
      </c>
      <c r="F10" t="inlineStr">
        <is>
          <t>6-tire single-unit total VOT/veh-hr</t>
        </is>
      </c>
    </row>
    <row r="11">
      <c r="A11" t="inlineStr">
        <is>
          <t>AVG_CAR_OCCUPANCY</t>
        </is>
      </c>
      <c r="B11" t="n">
        <v>1.57</v>
      </c>
      <c r="D11" t="inlineStr">
        <is>
          <t>nhts 2022 - ACROSS ALL purposes</t>
        </is>
      </c>
    </row>
    <row r="12">
      <c r="A12" t="inlineStr">
        <is>
          <t>fuel_price_gasoline</t>
        </is>
      </c>
      <c r="B12">
        <f>[1]T04_avg_fuel_VOC!C16</f>
        <v/>
      </c>
      <c r="D12" t="inlineStr">
        <is>
          <t>EIA 2024</t>
        </is>
      </c>
    </row>
    <row r="13">
      <c r="A13" t="inlineStr">
        <is>
          <t>fuel_price_diesel</t>
        </is>
      </c>
      <c r="B13">
        <f>[1]T04_avg_fuel_VOC!C17</f>
        <v/>
      </c>
      <c r="D13" t="inlineStr">
        <is>
          <t>EIA 2024</t>
        </is>
      </c>
      <c r="R13" s="1" t="n"/>
    </row>
    <row r="14">
      <c r="A14" t="inlineStr">
        <is>
          <t>closure_depth_car</t>
        </is>
      </c>
      <c r="B14" t="n">
        <v>30</v>
      </c>
      <c r="C14" t="inlineStr">
        <is>
          <t>cm</t>
        </is>
      </c>
      <c r="D14" t="inlineStr">
        <is>
          <t>Pregnolato et al. 2017; NWS 12-in guidance</t>
        </is>
      </c>
      <c r="R14" s="2" t="n"/>
    </row>
    <row r="15">
      <c r="A15" t="inlineStr">
        <is>
          <t>closure_depth_truck</t>
        </is>
      </c>
      <c r="B15" t="n">
        <v>60</v>
      </c>
      <c r="C15" t="inlineStr">
        <is>
          <t>cm</t>
        </is>
      </c>
      <c r="D15" t="inlineStr">
        <is>
          <t>Kramer et al. 2016 (~50-60 cm truck fording)</t>
        </is>
      </c>
    </row>
    <row r="16">
      <c r="A16" t="inlineStr">
        <is>
          <t>isolation_loss_passenger</t>
        </is>
      </c>
      <c r="B16" s="2">
        <f>(B5*B7+B6*(1-B7))*7</f>
        <v/>
      </c>
      <c r="C16" t="inlineStr">
        <is>
          <t>USD/worker-day</t>
        </is>
      </c>
      <c r="D16" t="inlineStr">
        <is>
          <t>Exhibit A3 CP25 weighted auto VOT x 7 h/day (BLS CES ~35 h/wk =&gt; 7 h used as day length)</t>
        </is>
      </c>
      <c r="E16" t="inlineStr">
        <is>
          <t xml:space="preserve"> https://www.bls.gov/ces/data/employment-and-earnings/2024/summarytable_202401.htm</t>
        </is>
      </c>
      <c r="F16">
        <f>(vot_biz*share_biz + vot_pers*(1-share_biz))*7</f>
        <v/>
      </c>
    </row>
    <row r="17">
      <c r="A17" t="inlineStr">
        <is>
          <t>haul_hours_freight</t>
        </is>
      </c>
      <c r="B17" t="n">
        <v>8</v>
      </c>
      <c r="C17" t="inlineStr">
        <is>
          <t>h/operating-day</t>
        </is>
      </c>
      <c r="D17" t="inlineStr">
        <is>
          <t>ATRI Analysis of the Operational Costs of Trucking: 2026 Update (2025: ~85,991 mi/yr, 250 operating days =&gt; ~344 mi/day; ~45-50 mph =&gt; ~7-8 driving h)</t>
        </is>
      </c>
      <c r="E17" t="inlineStr">
        <is>
          <t>https://truckingresearch.org/</t>
        </is>
      </c>
      <c r="F17" t="inlineStr">
        <is>
          <t>Recommended central productive haul hours for isolation (parallel to passenger 7 h workday). NOT Script 4 assignment effective_hours_per_day=24.</t>
        </is>
      </c>
    </row>
    <row r="18">
      <c r="A18" t="inlineStr">
        <is>
          <t>haul_hours_freight_min</t>
        </is>
      </c>
      <c r="B18" t="n">
        <v>6</v>
      </c>
      <c r="C18" t="inlineStr">
        <is>
          <t>h/operating-day</t>
        </is>
      </c>
      <c r="D18" t="inlineStr">
        <is>
          <t>ATRI mi/day at ~55 mph driving-only (~6.3 h); lower SA bound</t>
        </is>
      </c>
      <c r="E18" t="inlineStr">
        <is>
          <t>https://truckingresearch.org/</t>
        </is>
      </c>
      <c r="F18" t="inlineStr">
        <is>
          <t>Lower bound: pure driving time from ATRI utilization; excludes most non-driving productive time.</t>
        </is>
      </c>
    </row>
    <row r="19">
      <c r="A19" t="inlineStr">
        <is>
          <t>haul_hours_freight_max</t>
        </is>
      </c>
      <c r="B19" t="n">
        <v>11</v>
      </c>
      <c r="C19" t="inlineStr">
        <is>
          <t>h/operating-day</t>
        </is>
      </c>
      <c r="D19" t="inlineStr">
        <is>
          <t>FMCSA Hours of Service: max 11 hours driving within 14-hour on-duty window (property-carrying)</t>
        </is>
      </c>
      <c r="E19" t="inlineStr">
        <is>
          <t>https://www.fmcsa.dot.gov/regulations/hours-service</t>
        </is>
      </c>
      <c r="F19" t="inlineStr">
        <is>
          <t>Upper bound / ceiling: HOS maximum driving hours per day, not typical mean.</t>
        </is>
      </c>
    </row>
    <row r="20">
      <c r="A20" t="inlineStr">
        <is>
          <t>isolation_loss_freight</t>
        </is>
      </c>
      <c r="B20">
        <f>B8*B17</f>
        <v/>
      </c>
      <c r="C20" t="inlineStr">
        <is>
          <t>USD/truck-day</t>
        </is>
      </c>
      <c r="D20" t="inlineStr">
        <is>
          <t>USDOT BCA Exhibit A-3 (CP25) 5+-axle combination Value of Time per Vehicle Hour (2018 USD) x haul_hours_freight</t>
        </is>
      </c>
      <c r="F20" t="inlineStr">
        <is>
          <t>Primary Wave-1: vot_HT x HT_hrs. Composite already includes occupants + vehicle capital + inventory cargo (0.17 USD/hr). Do NOT also multiply FAF USD/ton x holding on the same isolation dollars. Replaces Script 4 freight iso = VOT_ogv x 24.</t>
        </is>
      </c>
    </row>
    <row r="21">
      <c r="A21" t="inlineStr">
        <is>
          <t>isolation_loss_freight_min</t>
        </is>
      </c>
      <c r="B21">
        <f>B8*B18</f>
        <v/>
      </c>
      <c r="C21" t="inlineStr">
        <is>
          <t>USD/truck-day</t>
        </is>
      </c>
      <c r="D21" t="inlineStr">
        <is>
          <t>Same A-3 vot_HT x haul_hours_freight_min</t>
        </is>
      </c>
      <c r="F21" t="inlineStr">
        <is>
          <t>Lower SA: keep HT class (FAF long-haul default) but short haul-day. Alt stricter lower: vot_ST x haul_hours_freight_min (=B10*B18) if SU share is large.</t>
        </is>
      </c>
    </row>
    <row r="22">
      <c r="A22" t="inlineStr">
        <is>
          <t>isolation_loss_freight_max</t>
        </is>
      </c>
      <c r="B22">
        <f>B9*B19</f>
        <v/>
      </c>
      <c r="C22" t="inlineStr">
        <is>
          <t>USD/truck-day</t>
        </is>
      </c>
      <c r="D22" t="inlineStr">
        <is>
          <t>Exhibit A-3 4-axle combination (vot_MT) x HOS max driving hours</t>
        </is>
      </c>
      <c r="F22" t="inlineStr">
        <is>
          <t>Upper SA: higher A-3 combo class (MT capital-heavy) x HOS ceiling. Alt: vot_HT x 11 (=B8*B19) if locking class to 5+-axle.</t>
        </is>
      </c>
    </row>
    <row r="23">
      <c r="A23" t="inlineStr">
        <is>
          <t>isolation_loss_passenger_min</t>
        </is>
      </c>
      <c r="B23">
        <f>(B5*B7+B6*(1-B7))*6</f>
        <v/>
      </c>
      <c r="C23" t="inlineStr">
        <is>
          <t>USD/worker-day</t>
        </is>
      </c>
      <c r="D23" t="inlineStr">
        <is>
          <t>Same Exhibit A-3 weighted auto VOT as isolation_loss_passenger, with 6 h/day</t>
        </is>
      </c>
      <c r="F23" t="inlineStr">
        <is>
          <t>Lower SA: same biz/personal mix, shorter day (6 h vs 7 h). Alt: personal-only B6*7.</t>
        </is>
      </c>
    </row>
    <row r="24">
      <c r="A24" t="inlineStr">
        <is>
          <t>isolation_loss_passenger_max</t>
        </is>
      </c>
      <c r="B24">
        <f>(B5*B7+B6*(1-B7))*8</f>
        <v/>
      </c>
      <c r="C24" t="inlineStr">
        <is>
          <t>USD/worker-day</t>
        </is>
      </c>
      <c r="D24" t="inlineStr">
        <is>
          <t>Same weighted A-3 auto VOT x 8 h/day</t>
        </is>
      </c>
      <c r="F24" t="inlineStr">
        <is>
          <t>Upper SA: same mix, longer day (8 h). Alt wage-based upper: BLS CES ~35 USD/hr x 7 h =~245 USD/worker-day (full earnings, not A-3 VOT).</t>
        </is>
      </c>
    </row>
    <row r="25">
      <c r="A25" t="inlineStr">
        <is>
          <t>share_freight_truck_HT</t>
        </is>
      </c>
      <c r="B25" t="n">
        <v>1</v>
      </c>
      <c r="C25" t="inlineStr">
        <is>
          <t>fraction</t>
        </is>
      </c>
      <c r="D25" t="inlineStr">
        <is>
          <t>ResiFlow T29 adopted combination (CUT) payloads; FAF long-haul treated as 5+-axle / HT for monetization</t>
        </is>
      </c>
      <c r="F25" t="inlineStr">
        <is>
          <t>Wave-1: all freight isolation uses vot_HT. Crude SU/CUT class mix deferred (Table 52 shares). Set &lt;1 and blend with ST/MT when class mix is wired.</t>
        </is>
      </c>
    </row>
    <row r="26"/>
    <row r="27"/>
    <row r="28"/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Alimurtaza Husain Kothawala</dc:creator>
  <dcterms:created xsi:type="dcterms:W3CDTF">2026-09-23T18:13:43Z</dcterms:created>
  <dcterms:modified xsi:type="dcterms:W3CDTF">2026-09-24T18:19:06Z</dcterms:modified>
  <cp:lastModifiedBy>Alimurtaza Husain Kothawala</cp:lastModifiedBy>
</cp:coreProperties>
</file>